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closure 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<sst xmlns="http://schemas.openxmlformats.org/spreadsheetml/2006/main" count="149" uniqueCount="106">
  <si>
    <t xml:space="preserve">Vendor</t>
  </si>
  <si>
    <t xml:space="preserve">Link</t>
  </si>
  <si>
    <t xml:space="preserve">Category</t>
  </si>
  <si>
    <t xml:space="preserve">Descriptor</t>
  </si>
  <si>
    <t xml:space="preserve">Part #</t>
  </si>
  <si>
    <t xml:space="preserve">Price</t>
  </si>
  <si>
    <t xml:space="preserve">Quantity</t>
  </si>
  <si>
    <t xml:space="preserve"># Spare(s)</t>
  </si>
  <si>
    <t xml:space="preserve">Total Price</t>
  </si>
  <si>
    <t xml:space="preserve">Note</t>
  </si>
  <si>
    <t xml:space="preserve">Front Panel Express</t>
  </si>
  <si>
    <t xml:space="preserve">Contact and Pay</t>
  </si>
  <si>
    <t xml:space="preserve">Payment</t>
  </si>
  <si>
    <t xml:space="preserve">Front/Back panel/Housing profile</t>
  </si>
  <si>
    <t xml:space="preserve">N/A</t>
  </si>
  <si>
    <t xml:space="preserve">SendCutSend</t>
  </si>
  <si>
    <t xml:space="preserve">https://invoice.sendcutsend.com/urhwne3jqfz8</t>
  </si>
  <si>
    <t xml:space="preserve">Payment Link</t>
  </si>
  <si>
    <t xml:space="preserve">Rest of enclosure</t>
  </si>
  <si>
    <t xml:space="preserve">McMaster</t>
  </si>
  <si>
    <t xml:space="preserve">https://www.mcmaster.com/9290T12/</t>
  </si>
  <si>
    <t xml:space="preserve">Electronic Hardware</t>
  </si>
  <si>
    <t xml:space="preserve">Bus bar</t>
  </si>
  <si>
    <t xml:space="preserve">9290T12 </t>
  </si>
  <si>
    <t xml:space="preserve">https://www.mcmaster.com/9290T25/</t>
  </si>
  <si>
    <t xml:space="preserve">Bus bar cover</t>
  </si>
  <si>
    <t xml:space="preserve">9290T25</t>
  </si>
  <si>
    <t xml:space="preserve">Digikey</t>
  </si>
  <si>
    <t xml:space="preserve">https://www.digikey.com/en/products/detail/tdk-lambda/CUT35-522-A/6874069?s=N4IgTCBcDaIMIFUAqBmArAWjWMB6AgiALoC%2BQA</t>
  </si>
  <si>
    <t xml:space="preserve">Power Supply</t>
  </si>
  <si>
    <t xml:space="preserve">CUT35-522/A</t>
  </si>
  <si>
    <t xml:space="preserve">https://www.digikey.com/en/products/detail/cui-inc/VFM-15C/2294930?utm_source=oemsecrets&amp;utm_medium=aggregator&amp;utm_campaign=buynow</t>
  </si>
  <si>
    <t xml:space="preserve">Line Filter</t>
  </si>
  <si>
    <t xml:space="preserve">VFM-15C</t>
  </si>
  <si>
    <t xml:space="preserve">Amazon</t>
  </si>
  <si>
    <t xml:space="preserve">https://www.amazon.com/Kentek-Extension-Connector-Printer-Network/dp/B07KVC9C21?crid=RR4VICSNIBFM&amp;dib=eyJ2IjoiMSJ9._92M02VowujmH_zSVjmicE5NmG8mq88ZaA-VQmND-oFcpsJoMhnxGW2Q7B4k4YogqYN_Xr94eYSYpo2P8nVUOqhPd70PfOvOczPYst8EzltFsdDxvlAJ6LK2RXy4-Ze4SXIW9cf4AaOfh1dJRG4vID17ZCDPuLFHI0mIpAwg47jCHKoobAoFbDMiN3REhuoKHYziYdh8_ew6bBAJ85BtlnhpPSIPMsd7eRes3P9OY1o.kFp7Buj6yDfIlCoq8r318Pk2Gir2Lo9c7uUv9Q7dlhg&amp;dib_tag=se&amp;keywords=db37+M+to+f&amp;qid=1760639332&amp;sprefix=db37+m+to+f%2Caps%2C166&amp;sr=8-3</t>
  </si>
  <si>
    <t xml:space="preserve">Cable</t>
  </si>
  <si>
    <t xml:space="preserve">DSUB 37 M to F</t>
  </si>
  <si>
    <t xml:space="preserve">KT-DB37-MF-3FT </t>
  </si>
  <si>
    <t xml:space="preserve">https://www.amazon.com/Female-Extension-Different-Colored-double-shielded/dp/B092QV8DGK?crid=39RF9P8AL3QAH&amp;dib=eyJ2IjoiMSJ9.oNWA2hNL-9frHmtqaG_19SglDv2M3VeeiDwpdiSBbTrG6c2A11dsOndHvNaRZ8YPeoo-chTehPnKKozvsI7SFOYHQkCYpVoxawbtWu0iUcUdL32KMNbKNVk5I-Wj8CjTEeWdzYzJxOjBOGLvVDkMQYhMYOc-GLZ-AOC06bJad0mZ0QxYYn08rAvEDWXowR2EmuyCgJD-JEmnryU2rTQWadCDOCeliVeytIz1c1EOsPc.hIkxj9_blKQynI7Gm66w3KOrNLtogD_X6qAAOX-jwBk&amp;dib_tag=se&amp;keywords=25%2Bpin%2Bdsub%2Bmale%2Bto%2Bfemale&amp;qid=1760641189&amp;sprefix=25%2Bpin%2Bdsub%2Bmale%2Bto%2Bfemale%2Caps%2C220&amp;sr=8-14&amp;th=1</t>
  </si>
  <si>
    <t xml:space="preserve">DSUB 25 M to F</t>
  </si>
  <si>
    <t xml:space="preserve">https://www.amazon.com/Durable-Braided-Android-Charging-Samsung/dp/B09XK4JDBJ?crid=369N3UQP2Z1OY&amp;dib=eyJ2IjoiMSJ9.k2LvP7SgGR78BomWGrG4GPUk3OcvzQ6I-Pm-v9Hi9CobGxMvTu-_oftAK85vdjQ9Rq5KiZtHs-2HqBWwtFn4KSie9d4E9fky9zV4-bAzl2aK0QsOqcrogXLNv4R_dcE7nItuzdznuvQfZeR12y_nA0slJ8ysyHUJNBQh63aZLsSQ7_skRyIoq6YGaHVNxxXB4xEtN1gqE7GBpUbhcSxvqcq1uNyvGnoqaK-ACNNgGUs.c54QQbRTzkSB5rDaLiL-54r4KwJTHst17lJ2OQYC3UI&amp;dib_tag=se&amp;keywords=Right+angle+1ft+micro+usb&amp;qid=1760718675&amp;sprefix=right+angle+1ft+micro+usb%2Caps%2C292&amp;sr=8-5#customerReviews</t>
  </si>
  <si>
    <t xml:space="preserve">Right angle 1ft micro usb (3 pack)</t>
  </si>
  <si>
    <t xml:space="preserve">1Ft-RA-MicroUSB-3P </t>
  </si>
  <si>
    <t xml:space="preserve">https://www.digikey.com/en/products/detail/mini-circuits/086-18SBSMR/20526752?s=N4IgTCBcDaIAwA4BsBaAjAgygIUwWQCUBqEAXQF8g</t>
  </si>
  <si>
    <t xml:space="preserve">Flux ramp SMA cable</t>
  </si>
  <si>
    <t xml:space="preserve">086-18SBSMR+</t>
  </si>
  <si>
    <t xml:space="preserve">https://www.amazon.com/C2G-03130-Universal-Power-Cord/dp/B0000510ZO?crid=248OGN85HGXXG&amp;dib=eyJ2IjoiMSJ9.v6HaAAcGojjgE8V63gcVgNdaH7vnlea7MnBsvyb4nLOClVsw8zc8GQ5wnFxFu_VPtp2SfUq-U7dw8C9z_R3QCfFZzhe7Jw-XtxYlXhrh5mKzgRvdKtLzxmzjsNeEeXo-XucztqHiXMVhkk9OhQuhY58KtPBHmFqTbHtyaG1zS7GKXRCrx4sXZLycTzeYO_NofU2jScqG-eoi-6GX3dvUcVLiZjQsnBg6cTHMlnDl--4.Z9oxtkgtCKdaIzjiH4e4aSIB-oZzM_5L3l25xVDYoXc&amp;dib_tag=se&amp;keywords=power+cable&amp;qid=1760728574&amp;sprefix=power+cable+%2Caps%2C242&amp;sr=8-4</t>
  </si>
  <si>
    <t xml:space="preserve">3 prong power cable</t>
  </si>
  <si>
    <t xml:space="preserve">https://www.amazon.com/gp/product/B0899V8XH8?smid=A2ZDGCOOU4F0SF&amp;psc=1</t>
  </si>
  <si>
    <t xml:space="preserve">Enclosure Fittings</t>
  </si>
  <si>
    <t xml:space="preserve">AC Fused Socket with Switch (Rear Panel) </t>
  </si>
  <si>
    <t xml:space="preserve">SM487-C14-Switch-2PCS </t>
  </si>
  <si>
    <t xml:space="preserve">https://www.digikey.com/en/products/detail/l-com/ECF504-BA/21288387</t>
  </si>
  <si>
    <t xml:space="preserve">Adapter Connector USB-B (USB TYPE-B), Receptacle To USB-A (USB TYPE-A), Receptacle Panel Mount, Flange</t>
  </si>
  <si>
    <t xml:space="preserve">ECF504-BA</t>
  </si>
  <si>
    <t xml:space="preserve">https://www.digikey.com/en/products/detail/cit-relay-and-switch/RA1122XCG/12418854</t>
  </si>
  <si>
    <t xml:space="preserve">Rocker Switch SPST 15A (AC) 125 V Panel Mount, Snap-In</t>
  </si>
  <si>
    <t xml:space="preserve">RA1122XCG</t>
  </si>
  <si>
    <t xml:space="preserve">Mcmaster</t>
  </si>
  <si>
    <t xml:space="preserve">https://www.mcmaster.com/91115A505/</t>
  </si>
  <si>
    <t xml:space="preserve">DSUB standoffs for FP</t>
  </si>
  <si>
    <t xml:space="preserve">91115A505 </t>
  </si>
  <si>
    <t xml:space="preserve">This is optional. This connection between the DSUB cables on either side of the panel should be sturdy enough . The standoff listed here is our best guess at the length to mate </t>
  </si>
  <si>
    <t xml:space="preserve">https://www.mcmaster.com/94868A038/</t>
  </si>
  <si>
    <t xml:space="preserve">Hardware</t>
  </si>
  <si>
    <t xml:space="preserve">Busbar nuts</t>
  </si>
  <si>
    <t xml:space="preserve">94868A038 </t>
  </si>
  <si>
    <t xml:space="preserve">https://www.mcmaster.com/97258A101/</t>
  </si>
  <si>
    <t xml:space="preserve">M3 square nuts (50 pack). Slide these into corner extrusions to secure bottom and top panels to the sides</t>
  </si>
  <si>
    <t xml:space="preserve">97258A101 </t>
  </si>
  <si>
    <t xml:space="preserve">Isel-usa</t>
  </si>
  <si>
    <t xml:space="preserve">https://www.isel-us.com/enclosure-profiles/16x18-extrusion-enclosure-corner-profile</t>
  </si>
  <si>
    <t xml:space="preserve">Enclosure</t>
  </si>
  <si>
    <t xml:space="preserve">16x18-extrusion-enclosure-corner-profile. Enclosure corners. Need to be cut to equal the height of the panel (445mm)</t>
  </si>
  <si>
    <t xml:space="preserve">G123020_1000</t>
  </si>
  <si>
    <t xml:space="preserve">https://www.mcmaster.com/90116a147/</t>
  </si>
  <si>
    <t xml:space="preserve">Busbar cover screws: M3 4mm</t>
  </si>
  <si>
    <t xml:space="preserve">90116A147 </t>
  </si>
  <si>
    <t xml:space="preserve">https://www.amazon.com/Swpeet-Aluminum-Assortment-Standoff-Unthreaded/dp/B0DNF9ZYY6?crid=ZHM23H05FDF6&amp;dib=eyJ2IjoiMSJ9.XGQJHl8yyGHRoqrowTG_jI7StVmWWHKv9KBDeL-fAqbRgRLRdvw6Q2gXkp81pN8pe_5j7hJ_66bal7ahU9rsS_hmSsbG-ojk4UO4GWvz6eLR30mdGuvsj4WhVCNxbTstCd11_tVPK8mZ3teUN8SuIgSO-sR3ne8qVJnnsOsMpIsoRxFR54n-4oC2LQ5gJlAEUDRhHdr60UUz2zivY-wBgEAi7j_RAb42lqE4Bsy0x_s.2rVpJ-bMQcyvMSoC_PJvaa4fVMrdqu6jfpdyCkTPhvA&amp;dib_tag=se&amp;keywords=M3%2Bspacer&amp;qid=1760646039&amp;sprefix=m3%2Bspacer%2Caps%2C267&amp;sr=8-6&amp;th=1</t>
  </si>
  <si>
    <t xml:space="preserve">spacers for mounting plate</t>
  </si>
  <si>
    <t xml:space="preserve">B0DNF9ZYY6 </t>
  </si>
  <si>
    <t xml:space="preserve">https://shop.frontpanelexpress.com/#Products</t>
  </si>
  <si>
    <t xml:space="preserve">L brackets for lid and bottom panel (12 pack)</t>
  </si>
  <si>
    <t xml:space="preserve">GGWS0113</t>
  </si>
  <si>
    <t xml:space="preserve">Only 8 are necessary</t>
  </si>
  <si>
    <t xml:space="preserve">https://www.mcmaster.com/95844A627/</t>
  </si>
  <si>
    <t xml:space="preserve">M4.8 machine screws for mounting housing profiles into Front and back panels</t>
  </si>
  <si>
    <t xml:space="preserve">95844A627 </t>
  </si>
  <si>
    <t xml:space="preserve">https://www.mcmaster.com/92000A114/</t>
  </si>
  <si>
    <t xml:space="preserve">M3 x 5mm pan head screws for L-brackets, some enclosure fittings and lid</t>
  </si>
  <si>
    <t xml:space="preserve">92000A114 </t>
  </si>
  <si>
    <t xml:space="preserve">https://www.mcmaster.com/90576A102/</t>
  </si>
  <si>
    <t xml:space="preserve">M3 locknuts for top of mounting plate</t>
  </si>
  <si>
    <t xml:space="preserve">90576A102 </t>
  </si>
  <si>
    <t xml:space="preserve">https://a.co/d/gfr9Ptf</t>
  </si>
  <si>
    <t xml:space="preserve">Electrical Insulating Adhesive Paper 200mm(7.9in) Width 3m Length 0.2mm Thickness Self Adhesive Battery Pack Insulator Gasket for 18650 21700 26650 Battery Pack, Green</t>
  </si>
  <si>
    <t xml:space="preserve">B0CJHW8JVR </t>
  </si>
  <si>
    <t xml:space="preserve">https://www.mcmaster.com/93115K871/</t>
  </si>
  <si>
    <t xml:space="preserve">Enclosure feet</t>
  </si>
  <si>
    <t xml:space="preserve">https://www.digikey.com/en/products/detail/jst-sales-america-inc/VHR-5N/608627</t>
  </si>
  <si>
    <t xml:space="preserve">Connector for power supply to Line filter</t>
  </si>
  <si>
    <t xml:space="preserve">VHR-5N</t>
  </si>
  <si>
    <t xml:space="preserve">https://www.digikey.com/en/products/detail/jst-sales-america-inc/ASVHSVH16K305/6009483</t>
  </si>
  <si>
    <t xml:space="preserve">cable with pre-crimped fittings for VHR-5N connector (power supply)</t>
  </si>
  <si>
    <t xml:space="preserve">ASVHSVH16K305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</si>
</sst>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Field" xfId="21"/>
    <cellStyle name="Pivot Table Valu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34" activeCellId="0" sqref="D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68"/>
    <col collapsed="false" customWidth="true" hidden="false" outlineLevel="0" max="2" min="2" style="1" width="16.79"/>
    <col collapsed="false" customWidth="true" hidden="false" outlineLevel="0" max="3" min="3" style="1" width="17.85"/>
    <col collapsed="false" customWidth="true" hidden="false" outlineLevel="0" max="4" min="4" style="1" width="58.51"/>
    <col collapsed="false" customWidth="true" hidden="false" outlineLevel="0" max="5" min="5" style="1" width="21.24"/>
    <col collapsed="false" customWidth="true" hidden="false" outlineLevel="0" max="6" min="6" style="2" width="8.47"/>
    <col collapsed="false" customWidth="true" hidden="false" outlineLevel="0" max="7" min="7" style="1" width="8.08"/>
    <col collapsed="false" customWidth="true" hidden="false" outlineLevel="0" max="9" min="8" style="1" width="10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n">
        <v>1</v>
      </c>
      <c r="H2" s="1" t="n">
        <v>0</v>
      </c>
      <c r="I2" s="2" t="n">
        <f aca="false">F2:F58*SUM(G2:H2)</f>
        <v>0</v>
      </c>
    </row>
    <row r="3" customFormat="false" ht="12.8" hidden="false" customHeight="false" outlineLevel="0" collapsed="false">
      <c r="A3" s="1" t="s">
        <v>15</v>
      </c>
      <c r="B3" s="1" t="s">
        <v>16</v>
      </c>
      <c r="C3" s="1" t="s">
        <v>17</v>
      </c>
      <c r="D3" s="1" t="s">
        <v>18</v>
      </c>
      <c r="E3" s="1" t="s">
        <v>14</v>
      </c>
      <c r="F3" s="2" t="n">
        <v>373.56</v>
      </c>
      <c r="G3" s="1" t="n">
        <v>1</v>
      </c>
      <c r="H3" s="1" t="n">
        <v>0</v>
      </c>
      <c r="I3" s="2" t="n">
        <f aca="false">F3:F59*SUM(G3:H3)</f>
        <v>373.56</v>
      </c>
    </row>
    <row r="4" customFormat="false" ht="12.8" hidden="false" customHeight="false" outlineLevel="0" collapsed="false">
      <c r="B4" s="3"/>
      <c r="C4" s="3"/>
      <c r="E4" s="4"/>
      <c r="F4" s="5"/>
      <c r="I4" s="2"/>
    </row>
    <row r="5" customFormat="false" ht="13" hidden="false" customHeight="false" outlineLevel="0" collapsed="false">
      <c r="A5" s="1" t="s">
        <v>19</v>
      </c>
      <c r="B5" s="1" t="s">
        <v>20</v>
      </c>
      <c r="C5" s="1" t="s">
        <v>21</v>
      </c>
      <c r="D5" s="3" t="s">
        <v>22</v>
      </c>
      <c r="E5" s="3" t="s">
        <v>23</v>
      </c>
      <c r="F5" s="5" t="n">
        <v>27.11</v>
      </c>
      <c r="G5" s="1" t="n">
        <v>2</v>
      </c>
      <c r="H5" s="1" t="n">
        <v>0</v>
      </c>
      <c r="I5" s="2" t="n">
        <f aca="false">F5:F61*SUM(G5:H5)</f>
        <v>54.22</v>
      </c>
    </row>
    <row r="6" customFormat="false" ht="13" hidden="false" customHeight="false" outlineLevel="0" collapsed="false">
      <c r="A6" s="1" t="s">
        <v>19</v>
      </c>
      <c r="B6" s="1" t="s">
        <v>24</v>
      </c>
      <c r="C6" s="1" t="s">
        <v>21</v>
      </c>
      <c r="D6" s="1" t="s">
        <v>25</v>
      </c>
      <c r="E6" s="1" t="s">
        <v>26</v>
      </c>
      <c r="F6" s="5" t="n">
        <v>19.8</v>
      </c>
      <c r="G6" s="1" t="n">
        <v>2</v>
      </c>
      <c r="H6" s="1" t="n">
        <v>0</v>
      </c>
      <c r="I6" s="2" t="n">
        <f aca="false">F6:F62*SUM(G6:H6)</f>
        <v>39.6</v>
      </c>
    </row>
    <row r="7" customFormat="false" ht="13" hidden="false" customHeight="false" outlineLevel="0" collapsed="false">
      <c r="A7" s="1" t="s">
        <v>27</v>
      </c>
      <c r="B7" s="1" t="s">
        <v>28</v>
      </c>
      <c r="C7" s="1" t="s">
        <v>21</v>
      </c>
      <c r="D7" s="1" t="s">
        <v>29</v>
      </c>
      <c r="E7" s="1" t="s">
        <v>30</v>
      </c>
      <c r="F7" s="5" t="n">
        <v>50.41</v>
      </c>
      <c r="G7" s="1" t="n">
        <v>1</v>
      </c>
      <c r="H7" s="1" t="n">
        <v>0</v>
      </c>
      <c r="I7" s="2" t="n">
        <f aca="false">F7:F63*SUM(G7:H7)</f>
        <v>50.41</v>
      </c>
    </row>
    <row r="8" customFormat="false" ht="13" hidden="false" customHeight="false" outlineLevel="0" collapsed="false">
      <c r="A8" s="1" t="s">
        <v>27</v>
      </c>
      <c r="B8" s="1" t="s">
        <v>31</v>
      </c>
      <c r="C8" s="1" t="s">
        <v>21</v>
      </c>
      <c r="D8" s="1" t="s">
        <v>32</v>
      </c>
      <c r="E8" s="1" t="s">
        <v>33</v>
      </c>
      <c r="F8" s="5" t="n">
        <v>47.83</v>
      </c>
      <c r="G8" s="1" t="n">
        <v>1</v>
      </c>
      <c r="H8" s="1" t="n">
        <v>0</v>
      </c>
      <c r="I8" s="2" t="n">
        <f aca="false">F8:F64*SUM(G8:H8)</f>
        <v>47.83</v>
      </c>
    </row>
    <row r="9" customFormat="false" ht="13" hidden="false" customHeight="false" outlineLevel="0" collapsed="false">
      <c r="A9" s="1" t="s">
        <v>34</v>
      </c>
      <c r="B9" s="1" t="s">
        <v>35</v>
      </c>
      <c r="C9" s="1" t="s">
        <v>36</v>
      </c>
      <c r="D9" s="1" t="s">
        <v>37</v>
      </c>
      <c r="E9" s="4" t="s">
        <v>38</v>
      </c>
      <c r="F9" s="5" t="n">
        <v>16.74</v>
      </c>
      <c r="G9" s="1" t="n">
        <v>1</v>
      </c>
      <c r="H9" s="1" t="n">
        <v>1</v>
      </c>
      <c r="I9" s="2" t="n">
        <f aca="false">F9:F66*SUM(G9:H9)</f>
        <v>33.48</v>
      </c>
    </row>
    <row r="10" customFormat="false" ht="13" hidden="false" customHeight="false" outlineLevel="0" collapsed="false">
      <c r="A10" s="1" t="s">
        <v>34</v>
      </c>
      <c r="B10" s="1" t="s">
        <v>39</v>
      </c>
      <c r="C10" s="1" t="s">
        <v>36</v>
      </c>
      <c r="D10" s="1" t="s">
        <v>40</v>
      </c>
      <c r="E10" s="4"/>
      <c r="F10" s="5" t="n">
        <v>11.99</v>
      </c>
      <c r="G10" s="1" t="n">
        <v>1</v>
      </c>
      <c r="H10" s="1" t="n">
        <v>1</v>
      </c>
      <c r="I10" s="2" t="n">
        <f aca="false">F10:F67*SUM(G10:H10)</f>
        <v>23.98</v>
      </c>
    </row>
    <row r="11" customFormat="false" ht="13" hidden="false" customHeight="false" outlineLevel="0" collapsed="false">
      <c r="A11" s="1" t="s">
        <v>34</v>
      </c>
      <c r="B11" s="1" t="s">
        <v>41</v>
      </c>
      <c r="C11" s="1" t="s">
        <v>36</v>
      </c>
      <c r="D11" s="1" t="s">
        <v>42</v>
      </c>
      <c r="E11" s="4" t="s">
        <v>43</v>
      </c>
      <c r="F11" s="2" t="n">
        <v>7.99</v>
      </c>
      <c r="G11" s="1" t="n">
        <v>1</v>
      </c>
      <c r="H11" s="1" t="n">
        <v>0</v>
      </c>
      <c r="I11" s="2" t="n">
        <f aca="false">F11:F68*SUM(G11:H11)</f>
        <v>7.99</v>
      </c>
    </row>
    <row r="12" customFormat="false" ht="13" hidden="false" customHeight="false" outlineLevel="0" collapsed="false">
      <c r="A12" s="1" t="s">
        <v>27</v>
      </c>
      <c r="B12" s="1" t="s">
        <v>44</v>
      </c>
      <c r="C12" s="1" t="s">
        <v>36</v>
      </c>
      <c r="D12" s="1" t="s">
        <v>45</v>
      </c>
      <c r="E12" s="1" t="s">
        <v>46</v>
      </c>
      <c r="F12" s="5" t="n">
        <v>31.03</v>
      </c>
      <c r="G12" s="1" t="n">
        <v>1</v>
      </c>
      <c r="H12" s="1" t="n">
        <v>0</v>
      </c>
      <c r="I12" s="2" t="n">
        <f aca="false">F12:F70*SUM(G12:H12)</f>
        <v>31.03</v>
      </c>
    </row>
    <row r="13" customFormat="false" ht="12.8" hidden="false" customHeight="false" outlineLevel="0" collapsed="false">
      <c r="A13" s="1" t="s">
        <v>34</v>
      </c>
      <c r="B13" s="1" t="s">
        <v>47</v>
      </c>
      <c r="C13" s="1" t="s">
        <v>36</v>
      </c>
      <c r="D13" s="1" t="s">
        <v>48</v>
      </c>
      <c r="F13" s="2" t="n">
        <v>4.95</v>
      </c>
      <c r="G13" s="1" t="n">
        <v>1</v>
      </c>
      <c r="H13" s="1" t="n">
        <v>0</v>
      </c>
      <c r="I13" s="2" t="n">
        <f aca="false">F13:F72*SUM(G13:H13)</f>
        <v>4.95</v>
      </c>
    </row>
    <row r="14" customFormat="false" ht="13" hidden="false" customHeight="false" outlineLevel="0" collapsed="false">
      <c r="A14" s="1" t="s">
        <v>34</v>
      </c>
      <c r="B14" s="1" t="s">
        <v>49</v>
      </c>
      <c r="C14" s="1" t="s">
        <v>50</v>
      </c>
      <c r="D14" s="3" t="s">
        <v>51</v>
      </c>
      <c r="E14" s="3" t="s">
        <v>52</v>
      </c>
      <c r="F14" s="5" t="n">
        <v>16.99</v>
      </c>
      <c r="G14" s="1" t="n">
        <v>1</v>
      </c>
      <c r="H14" s="1" t="n">
        <v>0</v>
      </c>
      <c r="I14" s="2" t="n">
        <f aca="false">F14:F73*SUM(G14:H14)</f>
        <v>16.99</v>
      </c>
    </row>
    <row r="15" customFormat="false" ht="13" hidden="false" customHeight="false" outlineLevel="0" collapsed="false">
      <c r="A15" s="1" t="s">
        <v>27</v>
      </c>
      <c r="B15" s="1" t="s">
        <v>53</v>
      </c>
      <c r="C15" s="1" t="s">
        <v>50</v>
      </c>
      <c r="D15" s="1" t="s">
        <v>54</v>
      </c>
      <c r="E15" s="1" t="s">
        <v>55</v>
      </c>
      <c r="F15" s="5" t="n">
        <v>4.86</v>
      </c>
      <c r="G15" s="1" t="n">
        <v>2</v>
      </c>
      <c r="H15" s="1" t="n">
        <v>1</v>
      </c>
      <c r="I15" s="2" t="n">
        <f aca="false">F15:F74*SUM(G15:H15)</f>
        <v>14.58</v>
      </c>
    </row>
    <row r="16" customFormat="false" ht="13" hidden="false" customHeight="false" outlineLevel="0" collapsed="false">
      <c r="A16" s="1" t="s">
        <v>27</v>
      </c>
      <c r="B16" s="1" t="s">
        <v>56</v>
      </c>
      <c r="C16" s="1" t="s">
        <v>50</v>
      </c>
      <c r="D16" s="1" t="s">
        <v>57</v>
      </c>
      <c r="E16" s="1" t="s">
        <v>58</v>
      </c>
      <c r="F16" s="5" t="n">
        <v>1.66</v>
      </c>
      <c r="G16" s="1" t="n">
        <v>1</v>
      </c>
      <c r="H16" s="1" t="n">
        <v>1</v>
      </c>
      <c r="I16" s="2" t="n">
        <f aca="false">F16:F75*SUM(G16:H16)</f>
        <v>3.32</v>
      </c>
    </row>
    <row r="17" customFormat="false" ht="13" hidden="false" customHeight="false" outlineLevel="0" collapsed="false">
      <c r="A17" s="1" t="s">
        <v>59</v>
      </c>
      <c r="B17" s="3" t="s">
        <v>60</v>
      </c>
      <c r="C17" s="1" t="s">
        <v>50</v>
      </c>
      <c r="D17" s="1" t="s">
        <v>61</v>
      </c>
      <c r="E17" s="6" t="s">
        <v>62</v>
      </c>
      <c r="F17" s="5" t="n">
        <v>1.97</v>
      </c>
      <c r="G17" s="1" t="n">
        <v>4</v>
      </c>
      <c r="H17" s="1" t="n">
        <v>2</v>
      </c>
      <c r="I17" s="2" t="n">
        <f aca="false">F17:F76*SUM(G17:H17)</f>
        <v>11.82</v>
      </c>
      <c r="J17" s="1" t="s">
        <v>63</v>
      </c>
    </row>
    <row r="18" customFormat="false" ht="13" hidden="false" customHeight="false" outlineLevel="0" collapsed="false">
      <c r="A18" s="1" t="s">
        <v>59</v>
      </c>
      <c r="B18" s="1" t="s">
        <v>64</v>
      </c>
      <c r="C18" s="1" t="s">
        <v>65</v>
      </c>
      <c r="D18" s="1" t="s">
        <v>66</v>
      </c>
      <c r="E18" s="6" t="s">
        <v>67</v>
      </c>
      <c r="F18" s="7" t="n">
        <v>1.7</v>
      </c>
      <c r="G18" s="1" t="n">
        <v>4</v>
      </c>
      <c r="H18" s="1" t="n">
        <v>2</v>
      </c>
      <c r="I18" s="2" t="n">
        <f aca="false">F18:F77*SUM(G18:H18)</f>
        <v>10.2</v>
      </c>
    </row>
    <row r="19" customFormat="false" ht="13" hidden="false" customHeight="false" outlineLevel="0" collapsed="false">
      <c r="A19" s="1" t="s">
        <v>59</v>
      </c>
      <c r="B19" s="1" t="s">
        <v>68</v>
      </c>
      <c r="C19" s="1" t="s">
        <v>65</v>
      </c>
      <c r="D19" s="1" t="s">
        <v>69</v>
      </c>
      <c r="E19" s="6" t="s">
        <v>70</v>
      </c>
      <c r="F19" s="7" t="n">
        <v>7.14</v>
      </c>
      <c r="G19" s="1" t="n">
        <v>1</v>
      </c>
      <c r="H19" s="1" t="n">
        <v>0</v>
      </c>
      <c r="I19" s="2" t="n">
        <f aca="false">F19:F78*SUM(G19:H19)</f>
        <v>7.14</v>
      </c>
    </row>
    <row r="20" customFormat="false" ht="13.05" hidden="false" customHeight="false" outlineLevel="0" collapsed="false">
      <c r="A20" s="1" t="s">
        <v>71</v>
      </c>
      <c r="B20" s="1" t="s">
        <v>72</v>
      </c>
      <c r="C20" s="1" t="s">
        <v>73</v>
      </c>
      <c r="D20" s="8" t="s">
        <v>74</v>
      </c>
      <c r="E20" s="6" t="s">
        <v>75</v>
      </c>
      <c r="F20" s="5"/>
      <c r="I20" s="2" t="n">
        <f aca="false">F20:F79*SUM(G20:H20)</f>
        <v>0</v>
      </c>
    </row>
    <row r="21" customFormat="false" ht="13" hidden="false" customHeight="false" outlineLevel="0" collapsed="false">
      <c r="A21" s="1" t="s">
        <v>59</v>
      </c>
      <c r="B21" s="1" t="s">
        <v>76</v>
      </c>
      <c r="C21" s="1" t="s">
        <v>65</v>
      </c>
      <c r="D21" s="1" t="s">
        <v>77</v>
      </c>
      <c r="E21" s="4" t="s">
        <v>78</v>
      </c>
      <c r="F21" s="5" t="n">
        <v>15.71</v>
      </c>
      <c r="G21" s="1" t="n">
        <v>1</v>
      </c>
      <c r="I21" s="2" t="n">
        <f aca="false">F21:F80*SUM(G21:H21)</f>
        <v>15.71</v>
      </c>
    </row>
    <row r="22" customFormat="false" ht="13" hidden="false" customHeight="false" outlineLevel="0" collapsed="false">
      <c r="A22" s="1" t="s">
        <v>34</v>
      </c>
      <c r="B22" s="1" t="s">
        <v>79</v>
      </c>
      <c r="C22" s="1" t="s">
        <v>65</v>
      </c>
      <c r="D22" s="1" t="s">
        <v>80</v>
      </c>
      <c r="E22" s="4" t="s">
        <v>81</v>
      </c>
      <c r="F22" s="5" t="n">
        <v>17.99</v>
      </c>
      <c r="G22" s="1" t="n">
        <v>2</v>
      </c>
      <c r="I22" s="2" t="n">
        <f aca="false">F22:F81*SUM(G22:H22)</f>
        <v>35.98</v>
      </c>
    </row>
    <row r="23" customFormat="false" ht="12.8" hidden="false" customHeight="true" outlineLevel="0" collapsed="false">
      <c r="A23" s="1" t="s">
        <v>10</v>
      </c>
      <c r="B23" s="1" t="s">
        <v>82</v>
      </c>
      <c r="C23" s="1" t="s">
        <v>65</v>
      </c>
      <c r="D23" s="1" t="s">
        <v>83</v>
      </c>
      <c r="E23" s="1" t="s">
        <v>84</v>
      </c>
      <c r="F23" s="2" t="n">
        <v>35</v>
      </c>
      <c r="G23" s="1" t="n">
        <v>1</v>
      </c>
      <c r="H23" s="1" t="n">
        <v>0</v>
      </c>
      <c r="I23" s="2" t="n">
        <f aca="false">F23:F82*SUM(G23:H23)</f>
        <v>35</v>
      </c>
      <c r="J23" s="1" t="s">
        <v>85</v>
      </c>
    </row>
    <row r="24" customFormat="false" ht="12.8" hidden="false" customHeight="true" outlineLevel="0" collapsed="false">
      <c r="A24" s="1" t="s">
        <v>59</v>
      </c>
      <c r="B24" s="1" t="s">
        <v>86</v>
      </c>
      <c r="C24" s="1" t="s">
        <v>65</v>
      </c>
      <c r="D24" s="1" t="s">
        <v>87</v>
      </c>
      <c r="E24" s="6" t="s">
        <v>88</v>
      </c>
      <c r="F24" s="7" t="n">
        <v>7.25</v>
      </c>
      <c r="G24" s="1" t="n">
        <v>1</v>
      </c>
      <c r="H24" s="1" t="n">
        <v>0</v>
      </c>
      <c r="I24" s="2" t="n">
        <f aca="false">F24:F83*SUM(G24:H24)</f>
        <v>7.25</v>
      </c>
    </row>
    <row r="25" customFormat="false" ht="12.8" hidden="false" customHeight="true" outlineLevel="0" collapsed="false">
      <c r="A25" s="1" t="s">
        <v>59</v>
      </c>
      <c r="B25" s="1" t="s">
        <v>89</v>
      </c>
      <c r="C25" s="1" t="s">
        <v>65</v>
      </c>
      <c r="D25" s="1" t="s">
        <v>90</v>
      </c>
      <c r="E25" s="6" t="s">
        <v>91</v>
      </c>
      <c r="F25" s="2" t="n">
        <v>5.45</v>
      </c>
      <c r="G25" s="1" t="n">
        <v>1</v>
      </c>
      <c r="I25" s="2" t="n">
        <f aca="false">F25:F84*SUM(G25:H25)</f>
        <v>5.45</v>
      </c>
    </row>
    <row r="26" customFormat="false" ht="12.8" hidden="false" customHeight="true" outlineLevel="0" collapsed="false">
      <c r="A26" s="1" t="s">
        <v>59</v>
      </c>
      <c r="B26" s="1" t="s">
        <v>92</v>
      </c>
      <c r="C26" s="1" t="s">
        <v>65</v>
      </c>
      <c r="D26" s="1" t="s">
        <v>93</v>
      </c>
      <c r="E26" s="6" t="s">
        <v>94</v>
      </c>
      <c r="F26" s="2" t="n">
        <v>5.08</v>
      </c>
      <c r="G26" s="1" t="n">
        <v>1</v>
      </c>
      <c r="I26" s="2" t="n">
        <f aca="false">F26:F85*SUM(G26:H26)</f>
        <v>5.08</v>
      </c>
    </row>
    <row r="27" customFormat="false" ht="12.8" hidden="false" customHeight="true" outlineLevel="0" collapsed="false">
      <c r="A27" s="1" t="s">
        <v>34</v>
      </c>
      <c r="B27" s="1" t="s">
        <v>95</v>
      </c>
      <c r="C27" s="1" t="s">
        <v>21</v>
      </c>
      <c r="D27" s="8" t="s">
        <v>96</v>
      </c>
      <c r="E27" s="6" t="s">
        <v>97</v>
      </c>
      <c r="F27" s="2" t="n">
        <v>14.99</v>
      </c>
      <c r="G27" s="1" t="n">
        <v>1</v>
      </c>
      <c r="I27" s="2" t="n">
        <f aca="false">F27:F86*SUM(G27:H27)</f>
        <v>14.99</v>
      </c>
    </row>
    <row r="28" customFormat="false" ht="12.8" hidden="false" customHeight="false" outlineLevel="0" collapsed="false">
      <c r="A28" s="1" t="s">
        <v>59</v>
      </c>
      <c r="B28" s="1" t="s">
        <v>98</v>
      </c>
      <c r="C28" s="1" t="s">
        <v>65</v>
      </c>
      <c r="D28" s="8" t="s">
        <v>99</v>
      </c>
      <c r="E28" s="6"/>
      <c r="I28" s="2"/>
    </row>
    <row r="29" customFormat="false" ht="12.8" hidden="false" customHeight="false" outlineLevel="0" collapsed="false">
      <c r="A29" s="1" t="s">
        <v>27</v>
      </c>
      <c r="B29" s="1" t="s">
        <v>100</v>
      </c>
      <c r="C29" s="1" t="s">
        <v>36</v>
      </c>
      <c r="D29" s="1" t="s">
        <v>101</v>
      </c>
      <c r="E29" s="1" t="s">
        <v>102</v>
      </c>
      <c r="F29" s="2" t="n">
        <v>0.14</v>
      </c>
      <c r="G29" s="1" t="n">
        <v>1</v>
      </c>
      <c r="I29" s="2" t="n">
        <f aca="false">F29:F88*SUM(G29:H29)</f>
        <v>0.14</v>
      </c>
    </row>
    <row r="30" customFormat="false" ht="13" hidden="false" customHeight="false" outlineLevel="0" collapsed="false">
      <c r="A30" s="1" t="s">
        <v>27</v>
      </c>
      <c r="B30" s="1" t="s">
        <v>103</v>
      </c>
      <c r="C30" s="1" t="s">
        <v>36</v>
      </c>
      <c r="D30" s="1" t="s">
        <v>104</v>
      </c>
      <c r="E30" s="1" t="s">
        <v>105</v>
      </c>
      <c r="F30" s="7" t="n">
        <v>0.86</v>
      </c>
      <c r="G30" s="1" t="n">
        <v>3</v>
      </c>
      <c r="I30" s="2" t="n">
        <f aca="false">F30:F89*SUM(G30:H30)</f>
        <v>2.58</v>
      </c>
    </row>
    <row r="31" customFormat="false" ht="12.8" hidden="false" customHeight="false" outlineLevel="0" collapsed="false">
      <c r="I31" s="2" t="n">
        <f aca="false">F31:F90*SUM(G31:H31)</f>
        <v>0</v>
      </c>
    </row>
    <row r="32" customFormat="false" ht="12.8" hidden="false" customHeight="false" outlineLevel="0" collapsed="false">
      <c r="I32" s="2" t="n">
        <f aca="false">F32:F91*SUM(G32:H32)</f>
        <v>0</v>
      </c>
    </row>
    <row r="33" customFormat="false" ht="12.8" hidden="false" customHeight="false" outlineLevel="0" collapsed="false">
      <c r="I33" s="2" t="n">
        <f aca="false">F33:F92*SUM(G33:H33)</f>
        <v>0</v>
      </c>
    </row>
    <row r="34" customFormat="false" ht="12.8" hidden="false" customHeight="false" outlineLevel="0" collapsed="false">
      <c r="I34" s="2" t="n">
        <f aca="false">F34:F93*SUM(G34:H34)</f>
        <v>0</v>
      </c>
    </row>
    <row r="35" customFormat="false" ht="12.8" hidden="false" customHeight="false" outlineLevel="0" collapsed="false">
      <c r="I35" s="2" t="n">
        <f aca="false">F35:F94*SUM(G35:H35)</f>
        <v>0</v>
      </c>
    </row>
    <row r="36" customFormat="false" ht="12.8" hidden="false" customHeight="false" outlineLevel="0" collapsed="false">
      <c r="I36" s="2" t="n">
        <f aca="false">F36:F95*SUM(G36:H36)</f>
        <v>0</v>
      </c>
    </row>
    <row r="37" customFormat="false" ht="12.8" hidden="false" customHeight="false" outlineLevel="0" collapsed="false">
      <c r="I37" s="2" t="n">
        <f aca="false">F37:F96*SUM(G37:H37)</f>
        <v>0</v>
      </c>
    </row>
    <row r="38" customFormat="false" ht="12.8" hidden="false" customHeight="false" outlineLevel="0" collapsed="false">
      <c r="I38" s="2" t="n">
        <f aca="false">F38:F97*SUM(G38:H38)</f>
        <v>0</v>
      </c>
    </row>
    <row r="39" customFormat="false" ht="12.8" hidden="false" customHeight="false" outlineLevel="0" collapsed="false">
      <c r="I39" s="2" t="n">
        <f aca="false">F39:F98*SUM(G39:H39)</f>
        <v>0</v>
      </c>
    </row>
    <row r="40" customFormat="false" ht="12.8" hidden="false" customHeight="false" outlineLevel="0" collapsed="false">
      <c r="I40" s="2" t="n">
        <f aca="false">F40:F99*SUM(G40:H40)</f>
        <v>0</v>
      </c>
    </row>
    <row r="41" customFormat="false" ht="12.8" hidden="false" customHeight="false" outlineLevel="0" collapsed="false">
      <c r="I41" s="2" t="n">
        <f aca="false">F41:F100*SUM(G41:H41)</f>
        <v>0</v>
      </c>
    </row>
    <row r="42" customFormat="false" ht="12.8" hidden="false" customHeight="true" outlineLevel="0" collapsed="false">
      <c r="I42" s="2" t="n">
        <f aca="false">F42:F101*SUM(G42:H42)</f>
        <v>0</v>
      </c>
    </row>
    <row r="43" customFormat="false" ht="12.8" hidden="false" customHeight="true" outlineLevel="0" collapsed="false">
      <c r="I43" s="2" t="n">
        <f aca="false">F43:F102*SUM(G43:H43)</f>
        <v>0</v>
      </c>
    </row>
    <row r="44" customFormat="false" ht="12.8" hidden="false" customHeight="true" outlineLevel="0" collapsed="false">
      <c r="I44" s="2" t="n">
        <f aca="false">F44:F103*SUM(G44:H44)</f>
        <v>0</v>
      </c>
    </row>
    <row r="45" customFormat="false" ht="12.8" hidden="false" customHeight="true" outlineLevel="0" collapsed="false">
      <c r="I45" s="2" t="n">
        <f aca="false">F45:F104*SUM(G45:H45)</f>
        <v>0</v>
      </c>
    </row>
    <row r="46" customFormat="false" ht="12.8" hidden="false" customHeight="true" outlineLevel="0" collapsed="false">
      <c r="I46" s="2" t="n">
        <f aca="false">F46:F105*SUM(G46:H46)</f>
        <v>0</v>
      </c>
    </row>
    <row r="47" customFormat="false" ht="12.8" hidden="false" customHeight="true" outlineLevel="0" collapsed="false">
      <c r="I47" s="2" t="n">
        <f aca="false">F47:F106*SUM(G47:H47)</f>
        <v>0</v>
      </c>
    </row>
    <row r="48" customFormat="false" ht="12.8" hidden="false" customHeight="true" outlineLevel="0" collapsed="false">
      <c r="I48" s="2" t="n">
        <f aca="false">F48:F107*SUM(G48:H48)</f>
        <v>0</v>
      </c>
    </row>
    <row r="49" customFormat="false" ht="12.8" hidden="false" customHeight="true" outlineLevel="0" collapsed="false">
      <c r="I49" s="2" t="n">
        <f aca="false">F49:F108*SUM(G49:H49)</f>
        <v>0</v>
      </c>
    </row>
    <row r="50" customFormat="false" ht="12.8" hidden="false" customHeight="true" outlineLevel="0" collapsed="false">
      <c r="I50" s="2" t="n">
        <f aca="false">F50:F109*SUM(G50:H50)</f>
        <v>0</v>
      </c>
    </row>
    <row r="51" customFormat="false" ht="12.8" hidden="false" customHeight="true" outlineLevel="0" collapsed="false">
      <c r="I51" s="2" t="n">
        <f aca="false">F51:F110*SUM(G51:H51)</f>
        <v>0</v>
      </c>
    </row>
    <row r="52" customFormat="false" ht="12.8" hidden="false" customHeight="true" outlineLevel="0" collapsed="false">
      <c r="I52" s="2" t="n">
        <f aca="false">F52:F111*SUM(G52:H52)</f>
        <v>0</v>
      </c>
    </row>
    <row r="53" customFormat="false" ht="12.8" hidden="false" customHeight="true" outlineLevel="0" collapsed="false">
      <c r="I53" s="2" t="n">
        <f aca="false">F53:F112*SUM(G53:H53)</f>
        <v>0</v>
      </c>
    </row>
    <row r="54" customFormat="false" ht="12.8" hidden="false" customHeight="true" outlineLevel="0" collapsed="false">
      <c r="I54" s="2" t="n">
        <f aca="false">F54:F113*SUM(G54:H54)</f>
        <v>0</v>
      </c>
    </row>
    <row r="55" customFormat="false" ht="12.8" hidden="false" customHeight="true" outlineLevel="0" collapsed="false">
      <c r="I55" s="2" t="n">
        <f aca="false">F55:F114*SUM(G55:H55)</f>
        <v>0</v>
      </c>
    </row>
    <row r="56" customFormat="false" ht="12.8" hidden="false" customHeight="true" outlineLevel="0" collapsed="false">
      <c r="I56" s="2" t="n">
        <f aca="false">F56:F115*SUM(G56:H56)</f>
        <v>0</v>
      </c>
    </row>
    <row r="57" customFormat="false" ht="12.8" hidden="false" customHeight="true" outlineLevel="0" collapsed="false">
      <c r="I57" s="2" t="n">
        <f aca="false">F57:F116*SUM(G57:H57)</f>
        <v>0</v>
      </c>
    </row>
    <row r="58" customFormat="false" ht="12.8" hidden="false" customHeight="true" outlineLevel="0" collapsed="false">
      <c r="I58" s="2" t="n">
        <f aca="false">F58:F117*SUM(G58:H58)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11159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2025-07-02T16:57:54Z</dcterms:created>
  <dc:creator/>
  <dc:description/>
  <dc:language>en-US</dc:language>
  <cp:lastModifiedBy/>
  <dcterms:modified xsi:type="dcterms:W3CDTF">2025-12-11T20:11:31Z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